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B:\.Clode\.Clode_Cloude\портфолио\01_Eingangsrechnungen\output\"/>
    </mc:Choice>
  </mc:AlternateContent>
  <xr:revisionPtr revIDLastSave="0" documentId="8_{C4F4AEB2-E9E4-4743-8FFC-041C20B3B03A}" xr6:coauthVersionLast="47" xr6:coauthVersionMax="47" xr10:uidLastSave="{00000000-0000-0000-0000-000000000000}"/>
  <bookViews>
    <workbookView xWindow="4305" yWindow="2805" windowWidth="21600" windowHeight="11505" xr2:uid="{23CE6776-570E-47BA-80A9-E2A64838BE0A}"/>
  </bookViews>
  <sheets>
    <sheet name="Eingangsrechnungen" sheetId="1" r:id="rId1"/>
  </sheets>
  <definedNames>
    <definedName name="_xlnm._FilterDatabase" localSheetId="0" hidden="1">Eingangsrechnungen!$A$1:$I$10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1" l="1"/>
  <c r="F12" i="1"/>
  <c r="E12" i="1"/>
</calcChain>
</file>

<file path=xl/sharedStrings.xml><?xml version="1.0" encoding="utf-8"?>
<sst xmlns="http://schemas.openxmlformats.org/spreadsheetml/2006/main" count="46" uniqueCount="39">
  <si>
    <t>Datei</t>
  </si>
  <si>
    <t>Lieferant</t>
  </si>
  <si>
    <t>Rechnungsnr.</t>
  </si>
  <si>
    <t>Rechnungsdatum</t>
  </si>
  <si>
    <t>Netto</t>
  </si>
  <si>
    <t>MwSt</t>
  </si>
  <si>
    <t>Brutto</t>
  </si>
  <si>
    <t>Zahlungsziel</t>
  </si>
  <si>
    <t>Status</t>
  </si>
  <si>
    <t>Rechnung_01.pdf</t>
  </si>
  <si>
    <t>Bürobedarf Sachse GmbH</t>
  </si>
  <si>
    <t>RE-2026-400</t>
  </si>
  <si>
    <t>Überfällig</t>
  </si>
  <si>
    <t>Rechnung_02.pdf</t>
  </si>
  <si>
    <t>Elbe IT-Service GmbH &amp; Co. KG</t>
  </si>
  <si>
    <t>2026/531</t>
  </si>
  <si>
    <t>Offen</t>
  </si>
  <si>
    <t>Rechnung_03.pdf</t>
  </si>
  <si>
    <t>Druckerei Morgenstern e.K.</t>
  </si>
  <si>
    <t>R-2623-3</t>
  </si>
  <si>
    <t>Rechnung_04.pdf</t>
  </si>
  <si>
    <t>Gebäudereinigung Blitz &amp; Blank GmbH</t>
  </si>
  <si>
    <t>RE-2026-451</t>
  </si>
  <si>
    <t>Rechnung_05.pdf</t>
  </si>
  <si>
    <t>Kaffee &amp; Co. Handels GmbH</t>
  </si>
  <si>
    <t>2026/624</t>
  </si>
  <si>
    <t>Rechnung_06.pdf</t>
  </si>
  <si>
    <t>Werkzeugtechnik Richter AG</t>
  </si>
  <si>
    <t>R-2615-6</t>
  </si>
  <si>
    <t>Rechnung_07.pdf</t>
  </si>
  <si>
    <t>Papierwerk Lausitz GmbH</t>
  </si>
  <si>
    <t>RE-2026-502</t>
  </si>
  <si>
    <t>Rechnung_08.pdf</t>
  </si>
  <si>
    <t>CleanOffice Dienstleistungen UG</t>
  </si>
  <si>
    <t>2026/717</t>
  </si>
  <si>
    <t>Rechnung_09.pdf</t>
  </si>
  <si>
    <t>Medientechnik Falke GmbH</t>
  </si>
  <si>
    <t>R-2665-9</t>
  </si>
  <si>
    <t>Summe (9 Rechnungen)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</si>
</sst>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€"/>
    <numFmt numFmtId="165" formatCode="dd\.mm\.yyyy"/>
  </numFmts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b/>
      <sz val="11"/>
      <color rgb="FF9C0006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C7CE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0" fillId="0" borderId="1" xfId="0" applyBorder="1"/>
    <xf numFmtId="164" fontId="0" fillId="0" borderId="0" xfId="0" applyNumberFormat="1"/>
    <xf numFmtId="164" fontId="1" fillId="0" borderId="1" xfId="0" applyNumberFormat="1" applyFont="1" applyBorder="1"/>
    <xf numFmtId="0" fontId="2" fillId="2" borderId="2" xfId="0" applyFont="1" applyFill="1" applyBorder="1"/>
    <xf numFmtId="0" fontId="0" fillId="3" borderId="2" xfId="0" applyFill="1" applyBorder="1"/>
    <xf numFmtId="0" fontId="0" fillId="3" borderId="2" xfId="0" quotePrefix="1" applyFill="1" applyBorder="1"/>
    <xf numFmtId="165" fontId="0" fillId="3" borderId="2" xfId="0" applyNumberFormat="1" applyFill="1" applyBorder="1"/>
    <xf numFmtId="164" fontId="0" fillId="3" borderId="2" xfId="0" applyNumberFormat="1" applyFill="1" applyBorder="1"/>
    <xf numFmtId="0" fontId="3" fillId="3" borderId="2" xfId="0" applyFont="1" applyFill="1" applyBorder="1"/>
    <xf numFmtId="0" fontId="0" fillId="0" borderId="2" xfId="0" applyBorder="1"/>
    <xf numFmtId="0" fontId="0" fillId="0" borderId="2" xfId="0" quotePrefix="1" applyBorder="1"/>
    <xf numFmtId="165" fontId="0" fillId="0" borderId="2" xfId="0" applyNumberFormat="1" applyBorder="1"/>
    <xf numFmtId="164" fontId="0" fillId="0" borderId="2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146ED-6289-45EF-BB82-794621F8D047}">
  <dimension ref="A1:I12"/>
  <sheetViews>
    <sheetView tabSelected="1"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16.42578125" bestFit="1" customWidth="1"/>
    <col min="2" max="2" width="35.28515625" bestFit="1" customWidth="1"/>
    <col min="3" max="3" width="15.28515625" bestFit="1" customWidth="1"/>
    <col min="4" max="4" width="18.7109375" bestFit="1" customWidth="1"/>
    <col min="5" max="5" width="10.42578125" bestFit="1" customWidth="1"/>
    <col min="6" max="6" width="9.42578125" bestFit="1" customWidth="1"/>
    <col min="7" max="7" width="10.42578125" bestFit="1" customWidth="1"/>
    <col min="8" max="8" width="14.28515625" bestFit="1" customWidth="1"/>
    <col min="9" max="9" width="9.85546875" bestFit="1" customWidth="1"/>
  </cols>
  <sheetData>
    <row r="1" spans="1:9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5">
      <c r="A2" s="6" t="s">
        <v>9</v>
      </c>
      <c r="B2" s="6" t="s">
        <v>10</v>
      </c>
      <c r="C2" s="7" t="s">
        <v>11</v>
      </c>
      <c r="D2" s="8">
        <v>46184</v>
      </c>
      <c r="E2" s="9">
        <v>253.5</v>
      </c>
      <c r="F2" s="9">
        <v>48.16</v>
      </c>
      <c r="G2" s="9">
        <v>301.66000000000003</v>
      </c>
      <c r="H2" s="8">
        <v>46198</v>
      </c>
      <c r="I2" s="10" t="s">
        <v>12</v>
      </c>
    </row>
    <row r="3" spans="1:9" x14ac:dyDescent="0.25">
      <c r="A3" s="11" t="s">
        <v>13</v>
      </c>
      <c r="B3" s="11" t="s">
        <v>14</v>
      </c>
      <c r="C3" s="12" t="s">
        <v>15</v>
      </c>
      <c r="D3" s="13">
        <v>46216</v>
      </c>
      <c r="E3" s="14">
        <v>1560.31</v>
      </c>
      <c r="F3" s="14">
        <v>296.45999999999998</v>
      </c>
      <c r="G3" s="14">
        <v>1856.77</v>
      </c>
      <c r="H3" s="13">
        <v>46230</v>
      </c>
      <c r="I3" s="11" t="s">
        <v>16</v>
      </c>
    </row>
    <row r="4" spans="1:9" x14ac:dyDescent="0.25">
      <c r="A4" s="6" t="s">
        <v>17</v>
      </c>
      <c r="B4" s="6" t="s">
        <v>18</v>
      </c>
      <c r="C4" s="7" t="s">
        <v>19</v>
      </c>
      <c r="D4" s="8">
        <v>46169</v>
      </c>
      <c r="E4" s="9">
        <v>648.79999999999995</v>
      </c>
      <c r="F4" s="9">
        <v>123.27</v>
      </c>
      <c r="G4" s="9">
        <v>772.07</v>
      </c>
      <c r="H4" s="8">
        <v>46183</v>
      </c>
      <c r="I4" s="10" t="s">
        <v>12</v>
      </c>
    </row>
    <row r="5" spans="1:9" x14ac:dyDescent="0.25">
      <c r="A5" s="11" t="s">
        <v>20</v>
      </c>
      <c r="B5" s="11" t="s">
        <v>21</v>
      </c>
      <c r="C5" s="12" t="s">
        <v>22</v>
      </c>
      <c r="D5" s="13">
        <v>46201</v>
      </c>
      <c r="E5" s="14">
        <v>1627.33</v>
      </c>
      <c r="F5" s="14">
        <v>309.19</v>
      </c>
      <c r="G5" s="14">
        <v>1936.52</v>
      </c>
      <c r="H5" s="13">
        <v>46222</v>
      </c>
      <c r="I5" s="11" t="s">
        <v>16</v>
      </c>
    </row>
    <row r="6" spans="1:9" x14ac:dyDescent="0.25">
      <c r="A6" s="6" t="s">
        <v>23</v>
      </c>
      <c r="B6" s="6" t="s">
        <v>24</v>
      </c>
      <c r="C6" s="7" t="s">
        <v>25</v>
      </c>
      <c r="D6" s="8">
        <v>46165</v>
      </c>
      <c r="E6" s="9">
        <v>1123.42</v>
      </c>
      <c r="F6" s="9">
        <v>78.64</v>
      </c>
      <c r="G6" s="9">
        <v>1202.06</v>
      </c>
      <c r="H6" s="8">
        <v>46195</v>
      </c>
      <c r="I6" s="10" t="s">
        <v>12</v>
      </c>
    </row>
    <row r="7" spans="1:9" x14ac:dyDescent="0.25">
      <c r="A7" s="11" t="s">
        <v>26</v>
      </c>
      <c r="B7" s="11" t="s">
        <v>27</v>
      </c>
      <c r="C7" s="12" t="s">
        <v>28</v>
      </c>
      <c r="D7" s="13">
        <v>46206</v>
      </c>
      <c r="E7" s="14">
        <v>1085.24</v>
      </c>
      <c r="F7" s="14">
        <v>206.2</v>
      </c>
      <c r="G7" s="14">
        <v>1291.44</v>
      </c>
      <c r="H7" s="13">
        <v>46227</v>
      </c>
      <c r="I7" s="11" t="s">
        <v>16</v>
      </c>
    </row>
    <row r="8" spans="1:9" x14ac:dyDescent="0.25">
      <c r="A8" s="6" t="s">
        <v>29</v>
      </c>
      <c r="B8" s="6" t="s">
        <v>30</v>
      </c>
      <c r="C8" s="7" t="s">
        <v>31</v>
      </c>
      <c r="D8" s="8">
        <v>46169</v>
      </c>
      <c r="E8" s="9">
        <v>2784.18</v>
      </c>
      <c r="F8" s="9">
        <v>528.99</v>
      </c>
      <c r="G8" s="9">
        <v>3313.17</v>
      </c>
      <c r="H8" s="8">
        <v>46183</v>
      </c>
      <c r="I8" s="10" t="s">
        <v>12</v>
      </c>
    </row>
    <row r="9" spans="1:9" x14ac:dyDescent="0.25">
      <c r="A9" s="11" t="s">
        <v>32</v>
      </c>
      <c r="B9" s="11" t="s">
        <v>33</v>
      </c>
      <c r="C9" s="12" t="s">
        <v>34</v>
      </c>
      <c r="D9" s="13">
        <v>46199</v>
      </c>
      <c r="E9" s="14">
        <v>627.98</v>
      </c>
      <c r="F9" s="14">
        <v>119.32</v>
      </c>
      <c r="G9" s="14">
        <v>747.3</v>
      </c>
      <c r="H9" s="13">
        <v>46213</v>
      </c>
      <c r="I9" s="11" t="s">
        <v>16</v>
      </c>
    </row>
    <row r="10" spans="1:9" x14ac:dyDescent="0.25">
      <c r="A10" s="6" t="s">
        <v>35</v>
      </c>
      <c r="B10" s="6" t="s">
        <v>36</v>
      </c>
      <c r="C10" s="7" t="s">
        <v>37</v>
      </c>
      <c r="D10" s="8">
        <v>46182</v>
      </c>
      <c r="E10" s="9">
        <v>1702.44</v>
      </c>
      <c r="F10" s="9">
        <v>323.45999999999998</v>
      </c>
      <c r="G10" s="9">
        <v>2025.9</v>
      </c>
      <c r="H10" s="8">
        <v>46196</v>
      </c>
      <c r="I10" s="10" t="s">
        <v>12</v>
      </c>
    </row>
    <row r="11" spans="1:9" x14ac:dyDescent="0.25">
      <c r="E11" s="3"/>
      <c r="F11" s="3"/>
      <c r="G11" s="3"/>
    </row>
    <row r="12" spans="1:9" x14ac:dyDescent="0.25">
      <c r="B12" s="1" t="s">
        <v>38</v>
      </c>
      <c r="C12" s="2"/>
      <c r="D12" s="2"/>
      <c r="E12" s="4">
        <f>SUM(E$2:E$10)</f>
        <v>11413.199999999999</v>
      </c>
      <c r="F12" s="4">
        <f>SUM(F$2:F$10)</f>
        <v>2033.6899999999998</v>
      </c>
      <c r="G12" s="4">
        <f>SUM(G$2:G$10)</f>
        <v>13446.89</v>
      </c>
      <c r="H12" s="2"/>
      <c r="I12" s="2"/>
    </row>
  </sheetData>
  <autoFilter ref="A1:I10" xr:uid="{4E0146ED-6289-45EF-BB82-794621F8D047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Eingangsrechnungen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 Kastor</dc:creator>
  <cp:lastModifiedBy>Go Kastor</cp:lastModifiedBy>
  <dcterms:created xsi:type="dcterms:W3CDTF">2026-07-04T08:00:21Z</dcterms:created>
  <dcterms:modified xsi:type="dcterms:W3CDTF">2026-07-04T08:00:22Z</dcterms:modified>
</cp:coreProperties>
</file>